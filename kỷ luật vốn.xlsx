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tapdoanxangdau-my.sharepoint.com/personal/tranvl_qt_petrolimex_com_vn/Documents/PERSONAL/Chứng khoán/đánh giá hàng tuần/"/>
    </mc:Choice>
  </mc:AlternateContent>
  <xr:revisionPtr revIDLastSave="152" documentId="13_ncr:1_{1F339D32-6CAC-497C-BB20-5C83FF497E94}" xr6:coauthVersionLast="47" xr6:coauthVersionMax="47" xr10:uidLastSave="{0E59F935-C363-4F6F-81C6-CAED41D3A8D1}"/>
  <bookViews>
    <workbookView xWindow="-120" yWindow="-120" windowWidth="29040" windowHeight="15720" tabRatio="682" activeTab="1" xr2:uid="{00000000-000D-0000-FFFF-FFFF00000000}"/>
  </bookViews>
  <sheets>
    <sheet name="đang giữ" sheetId="2" r:id="rId1"/>
    <sheet name="đã bán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5" l="1"/>
  <c r="AA5" i="5"/>
  <c r="AA8" i="5" s="1"/>
  <c r="Z5" i="5"/>
  <c r="Y5" i="5"/>
  <c r="Y8" i="5" s="1"/>
  <c r="X5" i="5"/>
  <c r="W5" i="5"/>
  <c r="V5" i="5"/>
  <c r="W8" i="5" s="1"/>
  <c r="D8" i="2"/>
  <c r="C8" i="2"/>
  <c r="C5" i="2"/>
  <c r="D10" i="2" s="1"/>
  <c r="U5" i="5"/>
  <c r="U8" i="5" s="1"/>
  <c r="T5" i="5"/>
  <c r="S5" i="5"/>
  <c r="R5" i="5"/>
  <c r="S8" i="5" s="1"/>
  <c r="Q5" i="5"/>
  <c r="P5" i="5"/>
  <c r="O5" i="5"/>
  <c r="N5" i="5"/>
  <c r="M5" i="5"/>
  <c r="L5" i="5"/>
  <c r="K5" i="5"/>
  <c r="K8" i="5" s="1"/>
  <c r="J5" i="5"/>
  <c r="I5" i="5"/>
  <c r="I8" i="5" s="1"/>
  <c r="H5" i="5"/>
  <c r="G5" i="5"/>
  <c r="G8" i="5" s="1"/>
  <c r="F5" i="5"/>
  <c r="E5" i="5"/>
  <c r="E8" i="5" s="1"/>
  <c r="D5" i="5"/>
  <c r="C5" i="5"/>
  <c r="C8" i="5" s="1"/>
  <c r="B5" i="5"/>
  <c r="D9" i="2" l="1"/>
  <c r="Q8" i="5"/>
  <c r="O8" i="5"/>
  <c r="M8" i="5"/>
</calcChain>
</file>

<file path=xl/sharedStrings.xml><?xml version="1.0" encoding="utf-8"?>
<sst xmlns="http://schemas.openxmlformats.org/spreadsheetml/2006/main" count="43" uniqueCount="31">
  <si>
    <t>Mã CP</t>
  </si>
  <si>
    <t>TRC</t>
  </si>
  <si>
    <t>Số CP đã mua</t>
  </si>
  <si>
    <t>Giá MA 50 (giá TB 50 ngày)</t>
  </si>
  <si>
    <t>PVT</t>
  </si>
  <si>
    <t>PSD</t>
  </si>
  <si>
    <t>Ngày mua</t>
  </si>
  <si>
    <t>Giá chốt lời/ cắt lỗ</t>
  </si>
  <si>
    <t>Giá mua/ giá cao nhất</t>
  </si>
  <si>
    <t>Giá hiện tại</t>
  </si>
  <si>
    <t>Tổng tiền</t>
  </si>
  <si>
    <t>Giá bán</t>
  </si>
  <si>
    <t>Ngày mua/ bán</t>
  </si>
  <si>
    <t>Lý do bán</t>
  </si>
  <si>
    <t>Giá hiện tại giảm so với giá cắt lỗ</t>
  </si>
  <si>
    <t>ADX = 20,1 &lt; 40
RSI = 47,3 &lt; 50
 - DI = 20,1 &gt; +DI = 18,6</t>
  </si>
  <si>
    <t>ADX = 23,8 &lt; 40
RSI = 49,4 &lt; 50
 - DI = 27,6 &gt; +DI = 24,4</t>
  </si>
  <si>
    <t>ITD</t>
  </si>
  <si>
    <t>25&lt;=ADX &lt; 40
RSI &lt; 50
-DI &gt; +DI</t>
  </si>
  <si>
    <t>thủng đáy 7%</t>
  </si>
  <si>
    <t>RSI VNI &gt; 75 bán 50%</t>
  </si>
  <si>
    <t>MSH</t>
  </si>
  <si>
    <t>ADX = 13,8
+DI = 24,3 ~ -DI = 23,6. xung lực tăng không có nên loại bỏ</t>
  </si>
  <si>
    <t>DCM</t>
  </si>
  <si>
    <t>SAS</t>
  </si>
  <si>
    <t>thủng stop loss 7% từ đỉnh</t>
  </si>
  <si>
    <t>chốt lời ăn tết</t>
  </si>
  <si>
    <t>RSI = 72, gần mức quá bán</t>
  </si>
  <si>
    <t>TLG</t>
  </si>
  <si>
    <t>thủng MA200</t>
  </si>
  <si>
    <t>thủng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</si>
</sst>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8"/>
      <name val="Times New Roman"/>
      <family val="1"/>
    </font>
    <font>
      <b/>
      <sz val="8"/>
      <name val="Calibri"/>
      <family val="2"/>
      <scheme val="minor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4" fontId="2" fillId="0" borderId="0" xfId="0" applyNumberFormat="1" applyFont="1"/>
    <xf numFmtId="0" fontId="4" fillId="0" borderId="1" xfId="0" applyFont="1" applyBorder="1"/>
    <xf numFmtId="164" fontId="5" fillId="0" borderId="1" xfId="1" applyNumberFormat="1" applyFont="1" applyBorder="1"/>
    <xf numFmtId="0" fontId="4" fillId="2" borderId="1" xfId="0" applyFont="1" applyFill="1" applyBorder="1"/>
    <xf numFmtId="164" fontId="5" fillId="2" borderId="1" xfId="1" applyNumberFormat="1" applyFont="1" applyFill="1" applyBorder="1"/>
    <xf numFmtId="14" fontId="4" fillId="0" borderId="1" xfId="0" applyNumberFormat="1" applyFont="1" applyBorder="1"/>
    <xf numFmtId="14" fontId="6" fillId="0" borderId="1" xfId="0" applyNumberFormat="1" applyFont="1" applyBorder="1"/>
    <xf numFmtId="164" fontId="3" fillId="0" borderId="1" xfId="1" applyNumberFormat="1" applyFont="1" applyBorder="1"/>
    <xf numFmtId="165" fontId="0" fillId="0" borderId="1" xfId="0" applyNumberFormat="1" applyBorder="1"/>
    <xf numFmtId="0" fontId="0" fillId="0" borderId="1" xfId="0" applyBorder="1"/>
    <xf numFmtId="0" fontId="2" fillId="0" borderId="0" xfId="0" applyFont="1"/>
    <xf numFmtId="0" fontId="6" fillId="0" borderId="1" xfId="0" applyFont="1" applyBorder="1"/>
    <xf numFmtId="0" fontId="6" fillId="2" borderId="1" xfId="0" applyFont="1" applyFill="1" applyBorder="1"/>
    <xf numFmtId="0" fontId="7" fillId="0" borderId="0" xfId="0" applyFont="1"/>
    <xf numFmtId="164" fontId="10" fillId="0" borderId="1" xfId="1" applyNumberFormat="1" applyFont="1" applyBorder="1"/>
    <xf numFmtId="0" fontId="10" fillId="0" borderId="1" xfId="0" applyFont="1" applyBorder="1"/>
    <xf numFmtId="164" fontId="10" fillId="0" borderId="1" xfId="1" applyNumberFormat="1" applyFont="1" applyBorder="1" applyAlignment="1"/>
    <xf numFmtId="14" fontId="8" fillId="0" borderId="1" xfId="0" applyNumberFormat="1" applyFont="1" applyBorder="1"/>
    <xf numFmtId="14" fontId="8" fillId="0" borderId="1" xfId="1" applyNumberFormat="1" applyFont="1" applyBorder="1"/>
    <xf numFmtId="14" fontId="11" fillId="0" borderId="1" xfId="0" applyNumberFormat="1" applyFont="1" applyBorder="1"/>
    <xf numFmtId="0" fontId="9" fillId="0" borderId="0" xfId="0" applyFont="1"/>
    <xf numFmtId="164" fontId="9" fillId="0" borderId="0" xfId="0" applyNumberFormat="1" applyFont="1"/>
    <xf numFmtId="0" fontId="12" fillId="0" borderId="0" xfId="0" applyFont="1"/>
    <xf numFmtId="0" fontId="4" fillId="0" borderId="1" xfId="0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10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2">
    <dxf>
      <fill>
        <patternFill>
          <fgColor rgb="FFFF0000"/>
          <bgColor rgb="FFCC3300"/>
        </patternFill>
      </fill>
    </dxf>
    <dxf>
      <fill>
        <patternFill>
          <fgColor rgb="FFFF0000"/>
          <bgColor rgb="FFCC3300"/>
        </patternFill>
      </fill>
    </dxf>
  </dxfs>
  <tableStyles count="0" defaultTableStyle="TableStyleMedium2" defaultPivotStyle="PivotStyleLight16"/>
  <colors>
    <mruColors>
      <color rgb="FFCC33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B5CB-5390-4FE6-A43A-28EE05EA3702}">
  <dimension ref="B1:D10"/>
  <sheetViews>
    <sheetView zoomScale="120" zoomScaleNormal="120" workbookViewId="0">
      <selection activeCell="C12" sqref="C12"/>
    </sheetView>
  </sheetViews>
  <sheetFormatPr defaultRowHeight="15" x14ac:dyDescent="0.25"/>
  <cols>
    <col min="1" max="1" width="4.5703125" customWidth="1"/>
    <col min="2" max="2" width="32.140625" customWidth="1"/>
    <col min="3" max="4" width="11" customWidth="1"/>
  </cols>
  <sheetData>
    <row r="1" spans="2:4" ht="20.25" customHeight="1" x14ac:dyDescent="0.25">
      <c r="B1" s="2" t="s">
        <v>0</v>
      </c>
      <c r="C1" s="24" t="s">
        <v>28</v>
      </c>
      <c r="D1" s="24"/>
    </row>
    <row r="2" spans="2:4" ht="20.25" customHeight="1" x14ac:dyDescent="0.25">
      <c r="B2" s="2" t="s">
        <v>8</v>
      </c>
      <c r="C2" s="3">
        <v>54800</v>
      </c>
      <c r="D2" s="3">
        <v>54800</v>
      </c>
    </row>
    <row r="3" spans="2:4" ht="20.25" customHeight="1" x14ac:dyDescent="0.25">
      <c r="B3" s="2" t="s">
        <v>9</v>
      </c>
      <c r="C3" s="25">
        <v>52800</v>
      </c>
      <c r="D3" s="26"/>
    </row>
    <row r="4" spans="2:4" ht="20.25" customHeight="1" x14ac:dyDescent="0.25">
      <c r="B4" s="2" t="s">
        <v>3</v>
      </c>
      <c r="C4" s="25">
        <v>48984</v>
      </c>
      <c r="D4" s="26"/>
    </row>
    <row r="5" spans="2:4" ht="20.25" customHeight="1" x14ac:dyDescent="0.25">
      <c r="B5" s="2" t="s">
        <v>7</v>
      </c>
      <c r="C5" s="27">
        <f>IF(IF(D2&gt;C2,D2*0.93,C2*0.93) &lt;MAX(C4,D4), MAX(C4,D4), IF(D2&gt;C2,D2*0.93,C2*0.93))</f>
        <v>50964</v>
      </c>
      <c r="D5" s="28"/>
    </row>
    <row r="6" spans="2:4" ht="20.25" customHeight="1" x14ac:dyDescent="0.25">
      <c r="B6" s="4"/>
      <c r="C6" s="5"/>
      <c r="D6" s="5"/>
    </row>
    <row r="7" spans="2:4" ht="20.25" customHeight="1" x14ac:dyDescent="0.25">
      <c r="B7" s="2" t="s">
        <v>2</v>
      </c>
      <c r="C7" s="25">
        <v>200</v>
      </c>
      <c r="D7" s="26"/>
    </row>
    <row r="8" spans="2:4" ht="20.25" customHeight="1" x14ac:dyDescent="0.25">
      <c r="B8" s="2" t="s">
        <v>10</v>
      </c>
      <c r="C8" s="8">
        <f>C2*C7</f>
        <v>10960000</v>
      </c>
      <c r="D8" s="8">
        <f>C3*C7</f>
        <v>10560000</v>
      </c>
    </row>
    <row r="9" spans="2:4" s="1" customFormat="1" ht="20.25" customHeight="1" x14ac:dyDescent="0.25">
      <c r="B9" s="6" t="s">
        <v>6</v>
      </c>
      <c r="C9" s="7">
        <v>46083</v>
      </c>
      <c r="D9" s="8">
        <f>D8-C8</f>
        <v>-400000</v>
      </c>
    </row>
    <row r="10" spans="2:4" ht="15.75" x14ac:dyDescent="0.25">
      <c r="B10" s="2" t="s">
        <v>14</v>
      </c>
      <c r="C10" s="10"/>
      <c r="D10" s="9">
        <f>(1-C3/C5)*100</f>
        <v>-3.6025429715093038</v>
      </c>
    </row>
  </sheetData>
  <mergeCells count="5">
    <mergeCell ref="C1:D1"/>
    <mergeCell ref="C3:D3"/>
    <mergeCell ref="C4:D4"/>
    <mergeCell ref="C5:D5"/>
    <mergeCell ref="C7:D7"/>
  </mergeCells>
  <conditionalFormatting sqref="C3">
    <cfRule type="expression" dxfId="1" priority="1">
      <formula>C3&lt;C5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6D93-03C1-4E6A-A2E2-31813BBAA4D6}">
  <dimension ref="A1:AA9"/>
  <sheetViews>
    <sheetView tabSelected="1" topLeftCell="L1" zoomScale="175" zoomScaleNormal="175" workbookViewId="0">
      <selection activeCell="U12" sqref="U12"/>
    </sheetView>
  </sheetViews>
  <sheetFormatPr defaultRowHeight="15" x14ac:dyDescent="0.25"/>
  <cols>
    <col min="1" max="1" width="19.42578125" customWidth="1"/>
    <col min="2" max="27" width="10" style="23" customWidth="1"/>
  </cols>
  <sheetData>
    <row r="1" spans="1:27" ht="20.25" customHeight="1" x14ac:dyDescent="0.25">
      <c r="A1" s="12" t="s">
        <v>0</v>
      </c>
      <c r="B1" s="32" t="s">
        <v>4</v>
      </c>
      <c r="C1" s="32"/>
      <c r="D1" s="29" t="s">
        <v>1</v>
      </c>
      <c r="E1" s="30"/>
      <c r="F1" s="29" t="s">
        <v>5</v>
      </c>
      <c r="G1" s="30"/>
      <c r="H1" s="29" t="s">
        <v>5</v>
      </c>
      <c r="I1" s="30"/>
      <c r="J1" s="29" t="s">
        <v>5</v>
      </c>
      <c r="K1" s="30"/>
      <c r="L1" s="29" t="s">
        <v>17</v>
      </c>
      <c r="M1" s="30"/>
      <c r="N1" s="29" t="s">
        <v>17</v>
      </c>
      <c r="O1" s="30"/>
      <c r="P1" s="29" t="s">
        <v>21</v>
      </c>
      <c r="Q1" s="30"/>
      <c r="R1" s="29" t="s">
        <v>23</v>
      </c>
      <c r="S1" s="30"/>
      <c r="T1" s="29" t="s">
        <v>23</v>
      </c>
      <c r="U1" s="30"/>
      <c r="V1" s="29" t="s">
        <v>24</v>
      </c>
      <c r="W1" s="30"/>
      <c r="X1" s="29" t="s">
        <v>24</v>
      </c>
      <c r="Y1" s="30"/>
      <c r="Z1" s="29" t="s">
        <v>28</v>
      </c>
      <c r="AA1" s="30"/>
    </row>
    <row r="2" spans="1:27" ht="20.25" customHeight="1" x14ac:dyDescent="0.25">
      <c r="A2" s="12" t="s">
        <v>8</v>
      </c>
      <c r="B2" s="15">
        <v>18800</v>
      </c>
      <c r="C2" s="15">
        <v>19200</v>
      </c>
      <c r="D2" s="15">
        <v>76300</v>
      </c>
      <c r="E2" s="15">
        <v>80600</v>
      </c>
      <c r="F2" s="15">
        <v>15900</v>
      </c>
      <c r="G2" s="15">
        <v>17700</v>
      </c>
      <c r="H2" s="15">
        <v>16500</v>
      </c>
      <c r="I2" s="15">
        <v>17700</v>
      </c>
      <c r="J2" s="15">
        <v>17400</v>
      </c>
      <c r="K2" s="15">
        <v>17700</v>
      </c>
      <c r="L2" s="15">
        <v>16500</v>
      </c>
      <c r="M2" s="15">
        <v>16800</v>
      </c>
      <c r="N2" s="15">
        <v>15500</v>
      </c>
      <c r="O2" s="15">
        <v>15600</v>
      </c>
      <c r="P2" s="15">
        <v>36000</v>
      </c>
      <c r="Q2" s="15">
        <v>40550</v>
      </c>
      <c r="R2" s="15">
        <v>37100</v>
      </c>
      <c r="S2" s="15">
        <v>39900</v>
      </c>
      <c r="T2" s="15">
        <v>38100</v>
      </c>
      <c r="U2" s="15">
        <v>42000</v>
      </c>
      <c r="V2" s="15">
        <v>38800</v>
      </c>
      <c r="W2" s="15">
        <v>40100</v>
      </c>
      <c r="X2" s="15">
        <v>39550</v>
      </c>
      <c r="Y2" s="15">
        <v>40100</v>
      </c>
      <c r="Z2" s="15">
        <v>54800</v>
      </c>
      <c r="AA2" s="15">
        <v>54800</v>
      </c>
    </row>
    <row r="3" spans="1:27" ht="20.25" customHeight="1" x14ac:dyDescent="0.25">
      <c r="A3" s="12" t="s">
        <v>11</v>
      </c>
      <c r="B3" s="15"/>
      <c r="C3" s="15">
        <v>18200</v>
      </c>
      <c r="D3" s="16"/>
      <c r="E3" s="15">
        <v>76300</v>
      </c>
      <c r="F3" s="16"/>
      <c r="G3" s="15">
        <v>15900</v>
      </c>
      <c r="H3" s="16"/>
      <c r="I3" s="15">
        <v>16000</v>
      </c>
      <c r="J3" s="16"/>
      <c r="K3" s="15">
        <v>16300</v>
      </c>
      <c r="L3" s="16"/>
      <c r="M3" s="15">
        <v>16800</v>
      </c>
      <c r="N3" s="16"/>
      <c r="O3" s="15">
        <v>15600</v>
      </c>
      <c r="P3" s="16"/>
      <c r="Q3" s="15">
        <v>37700</v>
      </c>
      <c r="R3" s="16"/>
      <c r="S3" s="15">
        <v>39500</v>
      </c>
      <c r="T3" s="16"/>
      <c r="U3" s="15">
        <v>42000</v>
      </c>
      <c r="V3" s="16"/>
      <c r="W3" s="15">
        <v>36900</v>
      </c>
      <c r="X3" s="16"/>
      <c r="Y3" s="15">
        <v>36900</v>
      </c>
      <c r="Z3" s="16"/>
      <c r="AA3" s="15">
        <v>51000</v>
      </c>
    </row>
    <row r="4" spans="1:27" ht="20.25" customHeight="1" x14ac:dyDescent="0.25">
      <c r="A4" s="12" t="s">
        <v>2</v>
      </c>
      <c r="B4" s="16"/>
      <c r="C4" s="17">
        <v>300</v>
      </c>
      <c r="D4" s="16"/>
      <c r="E4" s="16">
        <v>100</v>
      </c>
      <c r="F4" s="16"/>
      <c r="G4" s="16">
        <v>200</v>
      </c>
      <c r="H4" s="16"/>
      <c r="I4" s="16">
        <v>200</v>
      </c>
      <c r="J4" s="16"/>
      <c r="K4" s="16">
        <v>200</v>
      </c>
      <c r="L4" s="16"/>
      <c r="M4" s="16">
        <v>100</v>
      </c>
      <c r="N4" s="16"/>
      <c r="O4" s="16">
        <v>200</v>
      </c>
      <c r="P4" s="16"/>
      <c r="Q4" s="16">
        <v>200</v>
      </c>
      <c r="R4" s="16"/>
      <c r="S4" s="16">
        <v>200</v>
      </c>
      <c r="T4" s="16"/>
      <c r="U4" s="16">
        <v>200</v>
      </c>
      <c r="V4" s="16"/>
      <c r="W4" s="16">
        <v>200</v>
      </c>
      <c r="X4" s="16"/>
      <c r="Y4" s="16">
        <v>200</v>
      </c>
      <c r="Z4" s="16"/>
      <c r="AA4" s="16">
        <v>200</v>
      </c>
    </row>
    <row r="5" spans="1:27" ht="20.25" customHeight="1" x14ac:dyDescent="0.25">
      <c r="A5" s="12" t="s">
        <v>10</v>
      </c>
      <c r="B5" s="15">
        <f>B2*C4</f>
        <v>5640000</v>
      </c>
      <c r="C5" s="15">
        <f>C3*C4</f>
        <v>5460000</v>
      </c>
      <c r="D5" s="15">
        <f>D2*E4</f>
        <v>7630000</v>
      </c>
      <c r="E5" s="15">
        <f>E3*E4</f>
        <v>7630000</v>
      </c>
      <c r="F5" s="15">
        <f>F2*G4</f>
        <v>3180000</v>
      </c>
      <c r="G5" s="15">
        <f>G3*G4</f>
        <v>3180000</v>
      </c>
      <c r="H5" s="15">
        <f>H2*I4</f>
        <v>3300000</v>
      </c>
      <c r="I5" s="15">
        <f>I3*I4</f>
        <v>3200000</v>
      </c>
      <c r="J5" s="15">
        <f>J2*K4</f>
        <v>3480000</v>
      </c>
      <c r="K5" s="15">
        <f>K3*K4</f>
        <v>3260000</v>
      </c>
      <c r="L5" s="15">
        <f>L2*M4</f>
        <v>1650000</v>
      </c>
      <c r="M5" s="15">
        <f>M3*M4</f>
        <v>1680000</v>
      </c>
      <c r="N5" s="15">
        <f>N2*O4</f>
        <v>3100000</v>
      </c>
      <c r="O5" s="15">
        <f>O3*O4</f>
        <v>3120000</v>
      </c>
      <c r="P5" s="15">
        <f>P2*Q4</f>
        <v>7200000</v>
      </c>
      <c r="Q5" s="15">
        <f>Q3*Q4</f>
        <v>7540000</v>
      </c>
      <c r="R5" s="15">
        <f>R2*S4</f>
        <v>7420000</v>
      </c>
      <c r="S5" s="15">
        <f>S3*S4</f>
        <v>7900000</v>
      </c>
      <c r="T5" s="15">
        <f>T2*U4</f>
        <v>7620000</v>
      </c>
      <c r="U5" s="15">
        <f>U3*U4</f>
        <v>8400000</v>
      </c>
      <c r="V5" s="15">
        <f>V2*W4</f>
        <v>7760000</v>
      </c>
      <c r="W5" s="15">
        <f>W3*W4</f>
        <v>7380000</v>
      </c>
      <c r="X5" s="15">
        <f>X2*Y4</f>
        <v>7910000</v>
      </c>
      <c r="Y5" s="15">
        <f>Y3*Y4</f>
        <v>7380000</v>
      </c>
      <c r="Z5" s="15">
        <f>Z2*AA4</f>
        <v>10960000</v>
      </c>
      <c r="AA5" s="15">
        <f>AA3*AA4</f>
        <v>10200000</v>
      </c>
    </row>
    <row r="6" spans="1:27" s="11" customFormat="1" ht="20.25" customHeight="1" x14ac:dyDescent="0.25">
      <c r="A6" s="7" t="s">
        <v>12</v>
      </c>
      <c r="B6" s="18">
        <v>45987</v>
      </c>
      <c r="C6" s="19">
        <v>46001</v>
      </c>
      <c r="D6" s="18">
        <v>45985</v>
      </c>
      <c r="E6" s="18">
        <v>46006</v>
      </c>
      <c r="F6" s="18">
        <v>45989</v>
      </c>
      <c r="G6" s="18">
        <v>46016</v>
      </c>
      <c r="H6" s="18">
        <v>45996</v>
      </c>
      <c r="I6" s="18">
        <v>46030</v>
      </c>
      <c r="J6" s="20">
        <v>45999</v>
      </c>
      <c r="K6" s="18">
        <v>46030</v>
      </c>
      <c r="L6" s="20">
        <v>46381</v>
      </c>
      <c r="M6" s="18">
        <v>46038</v>
      </c>
      <c r="N6" s="20">
        <v>46381</v>
      </c>
      <c r="O6" s="18">
        <v>46038</v>
      </c>
      <c r="P6" s="20">
        <v>46037</v>
      </c>
      <c r="Q6" s="18">
        <v>46062</v>
      </c>
      <c r="R6" s="20">
        <v>46055</v>
      </c>
      <c r="S6" s="18">
        <v>46065</v>
      </c>
      <c r="T6" s="20">
        <v>46056</v>
      </c>
      <c r="U6" s="18">
        <v>46077</v>
      </c>
      <c r="V6" s="20">
        <v>46057</v>
      </c>
      <c r="W6" s="18">
        <v>46085</v>
      </c>
      <c r="X6" s="20">
        <v>46077</v>
      </c>
      <c r="Y6" s="18">
        <v>46085</v>
      </c>
      <c r="Z6" s="20">
        <v>46083</v>
      </c>
      <c r="AA6" s="18">
        <v>46090</v>
      </c>
    </row>
    <row r="7" spans="1:27" s="1" customFormat="1" ht="39" customHeight="1" x14ac:dyDescent="0.25">
      <c r="A7" s="13" t="s">
        <v>13</v>
      </c>
      <c r="B7" s="31" t="s">
        <v>15</v>
      </c>
      <c r="C7" s="31"/>
      <c r="D7" s="31" t="s">
        <v>16</v>
      </c>
      <c r="E7" s="31"/>
      <c r="F7" s="31" t="s">
        <v>18</v>
      </c>
      <c r="G7" s="31"/>
      <c r="H7" s="31" t="s">
        <v>19</v>
      </c>
      <c r="I7" s="31"/>
      <c r="J7" s="31" t="s">
        <v>19</v>
      </c>
      <c r="K7" s="31"/>
      <c r="L7" s="31" t="s">
        <v>20</v>
      </c>
      <c r="M7" s="31"/>
      <c r="N7" s="31" t="s">
        <v>22</v>
      </c>
      <c r="O7" s="31"/>
      <c r="P7" s="31" t="s">
        <v>25</v>
      </c>
      <c r="Q7" s="31"/>
      <c r="R7" s="31" t="s">
        <v>26</v>
      </c>
      <c r="S7" s="31"/>
      <c r="T7" s="31" t="s">
        <v>27</v>
      </c>
      <c r="U7" s="31"/>
      <c r="V7" s="31" t="s">
        <v>29</v>
      </c>
      <c r="W7" s="31"/>
      <c r="X7" s="31" t="s">
        <v>29</v>
      </c>
      <c r="Y7" s="31"/>
      <c r="Z7" s="31" t="s">
        <v>30</v>
      </c>
      <c r="AA7" s="31"/>
    </row>
    <row r="8" spans="1:27" s="11" customFormat="1" x14ac:dyDescent="0.25">
      <c r="A8" s="14"/>
      <c r="B8" s="21"/>
      <c r="C8" s="22">
        <f>C5-B5</f>
        <v>-180000</v>
      </c>
      <c r="D8" s="21"/>
      <c r="E8" s="22">
        <f>E5-D5</f>
        <v>0</v>
      </c>
      <c r="F8" s="21"/>
      <c r="G8" s="22">
        <f>G5-F5</f>
        <v>0</v>
      </c>
      <c r="H8" s="21"/>
      <c r="I8" s="22">
        <f>I5-H5</f>
        <v>-100000</v>
      </c>
      <c r="J8" s="21"/>
      <c r="K8" s="22">
        <f>K5-J5</f>
        <v>-220000</v>
      </c>
      <c r="L8" s="21"/>
      <c r="M8" s="22">
        <f>M5-L5</f>
        <v>30000</v>
      </c>
      <c r="N8" s="21"/>
      <c r="O8" s="22">
        <f>O5-N5</f>
        <v>20000</v>
      </c>
      <c r="P8" s="21"/>
      <c r="Q8" s="22">
        <f>Q5-P5</f>
        <v>340000</v>
      </c>
      <c r="R8" s="21"/>
      <c r="S8" s="22">
        <f>S5-R5</f>
        <v>480000</v>
      </c>
      <c r="T8" s="21"/>
      <c r="U8" s="22">
        <f>U5-T5</f>
        <v>780000</v>
      </c>
      <c r="V8" s="21"/>
      <c r="W8" s="22">
        <f>W5-V5</f>
        <v>-380000</v>
      </c>
      <c r="X8" s="21"/>
      <c r="Y8" s="22">
        <f>Y5-X5</f>
        <v>-530000</v>
      </c>
      <c r="Z8" s="21"/>
      <c r="AA8" s="22">
        <f>AA5-Z5</f>
        <v>-760000</v>
      </c>
    </row>
    <row r="9" spans="1:27" x14ac:dyDescent="0.25">
      <c r="A9" s="33">
        <f>SUM(B8:AA8)</f>
        <v>-520000</v>
      </c>
    </row>
  </sheetData>
  <mergeCells count="26">
    <mergeCell ref="Z1:AA1"/>
    <mergeCell ref="Z7:AA7"/>
    <mergeCell ref="B1:C1"/>
    <mergeCell ref="B7:C7"/>
    <mergeCell ref="F1:G1"/>
    <mergeCell ref="F7:G7"/>
    <mergeCell ref="L1:M1"/>
    <mergeCell ref="L7:M7"/>
    <mergeCell ref="H1:I1"/>
    <mergeCell ref="H7:I7"/>
    <mergeCell ref="J1:K1"/>
    <mergeCell ref="J7:K7"/>
    <mergeCell ref="D7:E7"/>
    <mergeCell ref="D1:E1"/>
    <mergeCell ref="V1:W1"/>
    <mergeCell ref="V7:W7"/>
    <mergeCell ref="X1:Y1"/>
    <mergeCell ref="X7:Y7"/>
    <mergeCell ref="N1:O1"/>
    <mergeCell ref="N7:O7"/>
    <mergeCell ref="T1:U1"/>
    <mergeCell ref="T7:U7"/>
    <mergeCell ref="R1:S1"/>
    <mergeCell ref="R7:S7"/>
    <mergeCell ref="P1:Q1"/>
    <mergeCell ref="P7:Q7"/>
  </mergeCells>
  <conditionalFormatting sqref="C3">
    <cfRule type="expression" dxfId="0" priority="12">
      <formula>C3&lt;#REF!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đang giữ</vt:lpstr>
      <vt:lpstr>đã bán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Tran, Vu Le (Quang Tri)</cp:lastModifiedBy>
  <cp:lastPrinted>2025-10-23T09:08:36Z</cp:lastPrinted>
  <dcterms:created xsi:type="dcterms:W3CDTF">2015-06-05T18:17:20Z</dcterms:created>
  <dcterms:modified xsi:type="dcterms:W3CDTF">2026-03-09T09:01:27Z</dcterms:modified>
</cp:coreProperties>
</file>